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-Nitro10\Desktop\"/>
    </mc:Choice>
  </mc:AlternateContent>
  <xr:revisionPtr revIDLastSave="0" documentId="13_ncr:1_{7F7CC5D0-CF12-4FA5-A962-C18D9C949F44}" xr6:coauthVersionLast="47" xr6:coauthVersionMax="47" xr10:uidLastSave="{00000000-0000-0000-0000-000000000000}"/>
  <bookViews>
    <workbookView xWindow="-108" yWindow="-108" windowWidth="23256" windowHeight="12456" xr2:uid="{58084196-1F13-43F3-80F9-CC5F304D01A5}"/>
  </bookViews>
  <sheets>
    <sheet name="OCAK 2026" sheetId="1" r:id="rId1"/>
  </sheets>
  <definedNames>
    <definedName name="_xlnm._FilterDatabase" localSheetId="0" hidden="1">'OCAK 2026'!$A$4:$AI$4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N17" i="1" s="1"/>
  <c r="L19" i="1"/>
  <c r="N19" i="1" s="1"/>
  <c r="L18" i="1"/>
  <c r="N18" i="1" s="1"/>
  <c r="L16" i="1"/>
  <c r="N16" i="1" s="1"/>
  <c r="L30" i="1"/>
  <c r="N30" i="1" s="1"/>
  <c r="L29" i="1"/>
  <c r="N29" i="1" s="1"/>
  <c r="L28" i="1"/>
  <c r="N28" i="1" s="1"/>
  <c r="L27" i="1"/>
  <c r="N27" i="1" s="1"/>
  <c r="L26" i="1"/>
  <c r="N26" i="1" s="1"/>
  <c r="L25" i="1"/>
  <c r="N25" i="1" s="1"/>
  <c r="L24" i="1"/>
  <c r="N24" i="1" s="1"/>
  <c r="L23" i="1"/>
  <c r="N23" i="1" s="1"/>
  <c r="L22" i="1"/>
  <c r="N22" i="1" s="1"/>
  <c r="L21" i="1"/>
  <c r="N21" i="1" s="1"/>
  <c r="L20" i="1"/>
  <c r="N20" i="1" s="1"/>
  <c r="L15" i="1"/>
  <c r="N15" i="1" s="1"/>
  <c r="L14" i="1"/>
  <c r="N14" i="1" s="1"/>
  <c r="L13" i="1"/>
  <c r="N13" i="1" s="1"/>
  <c r="L12" i="1"/>
  <c r="N12" i="1" s="1"/>
  <c r="L11" i="1"/>
  <c r="N11" i="1" s="1"/>
  <c r="L10" i="1"/>
  <c r="N10" i="1" s="1"/>
  <c r="L9" i="1"/>
  <c r="N9" i="1" s="1"/>
  <c r="L8" i="1"/>
  <c r="N8" i="1" s="1"/>
  <c r="L7" i="1"/>
  <c r="N7" i="1" s="1"/>
  <c r="O23" i="1"/>
  <c r="O24" i="1"/>
  <c r="O25" i="1"/>
  <c r="O26" i="1"/>
  <c r="O27" i="1"/>
  <c r="O28" i="1"/>
  <c r="O29" i="1"/>
  <c r="O30" i="1"/>
  <c r="O11" i="1"/>
  <c r="O6" i="1"/>
  <c r="O9" i="1"/>
  <c r="Q21" i="1"/>
  <c r="R28" i="1"/>
  <c r="R30" i="1"/>
  <c r="N39" i="1"/>
  <c r="M39" i="1"/>
  <c r="L39" i="1"/>
  <c r="K39" i="1"/>
  <c r="J39" i="1"/>
  <c r="M36" i="1"/>
  <c r="M43" i="1" s="1"/>
  <c r="M35" i="1"/>
  <c r="M42" i="1" s="1"/>
  <c r="M34" i="1"/>
  <c r="M41" i="1" s="1"/>
  <c r="M33" i="1"/>
  <c r="M40" i="1" s="1"/>
  <c r="N32" i="1"/>
  <c r="M32" i="1"/>
  <c r="L32" i="1"/>
  <c r="K32" i="1"/>
  <c r="J32" i="1"/>
  <c r="I32" i="1"/>
  <c r="O22" i="1"/>
  <c r="O21" i="1"/>
  <c r="O20" i="1"/>
  <c r="O19" i="1"/>
  <c r="O18" i="1"/>
  <c r="O17" i="1"/>
  <c r="O16" i="1"/>
  <c r="O15" i="1"/>
  <c r="O14" i="1"/>
  <c r="O13" i="1"/>
  <c r="O12" i="1"/>
  <c r="K35" i="1"/>
  <c r="K42" i="1" s="1"/>
  <c r="K36" i="1"/>
  <c r="J36" i="1"/>
  <c r="O10" i="1"/>
  <c r="O8" i="1"/>
  <c r="O7" i="1"/>
  <c r="O5" i="1"/>
  <c r="J43" i="1" l="1"/>
  <c r="K43" i="1"/>
  <c r="J34" i="1"/>
  <c r="J41" i="1" s="1"/>
  <c r="K34" i="1"/>
  <c r="K41" i="1" s="1"/>
  <c r="J35" i="1"/>
  <c r="J42" i="1" s="1"/>
  <c r="L34" i="1"/>
  <c r="L41" i="1" s="1"/>
  <c r="L33" i="1"/>
  <c r="L40" i="1" s="1"/>
  <c r="M44" i="1"/>
  <c r="L36" i="1"/>
  <c r="L43" i="1" s="1"/>
  <c r="J33" i="1"/>
  <c r="J40" i="1" s="1"/>
  <c r="K33" i="1"/>
  <c r="K40" i="1" s="1"/>
  <c r="K44" i="1" l="1"/>
  <c r="J44" i="1"/>
  <c r="N33" i="1"/>
  <c r="N40" i="1" s="1"/>
  <c r="N35" i="1"/>
  <c r="N42" i="1" s="1"/>
  <c r="N34" i="1"/>
  <c r="N41" i="1" s="1"/>
  <c r="N36" i="1"/>
  <c r="N43" i="1" s="1"/>
  <c r="L35" i="1"/>
  <c r="L42" i="1" s="1"/>
  <c r="L44" i="1" s="1"/>
  <c r="N44" i="1" l="1"/>
</calcChain>
</file>

<file path=xl/sharedStrings.xml><?xml version="1.0" encoding="utf-8"?>
<sst xmlns="http://schemas.openxmlformats.org/spreadsheetml/2006/main" count="184" uniqueCount="82">
  <si>
    <t>SIRA
NO</t>
  </si>
  <si>
    <t>ÖDEME KALEMLERİ</t>
  </si>
  <si>
    <t>FİRMA FATURA İSMİ</t>
  </si>
  <si>
    <t>İŞİN NEVİ</t>
  </si>
  <si>
    <t>FATURA DURUMU</t>
  </si>
  <si>
    <t>İŞİN ADI</t>
  </si>
  <si>
    <t>PARA BİRİMİ</t>
  </si>
  <si>
    <t>ÖNCEKİ
DÖNEMDEN KALAN BORÇ</t>
  </si>
  <si>
    <t>BU AYKİ BORÇ</t>
  </si>
  <si>
    <t>TOPLAM BOÇ</t>
  </si>
  <si>
    <t>BU AY ÖDENEN</t>
  </si>
  <si>
    <t>KALAN</t>
  </si>
  <si>
    <t>ÖDEME DURUMU</t>
  </si>
  <si>
    <t>SGK (REPSAM)</t>
  </si>
  <si>
    <t xml:space="preserve">KEMAL BATMAZOĞLU </t>
  </si>
  <si>
    <t>RESMİ KURUM HARÇLARI</t>
  </si>
  <si>
    <t>TL</t>
  </si>
  <si>
    <t>RESMİ MUHASEBE GİDERİ</t>
  </si>
  <si>
    <t>SGK(CAPRA )</t>
  </si>
  <si>
    <t>ERGÜN DOLMACI &amp; Co.</t>
  </si>
  <si>
    <t xml:space="preserve">SU FATURALARI </t>
  </si>
  <si>
    <t xml:space="preserve">ELEKTRİK FATURALARI </t>
  </si>
  <si>
    <t xml:space="preserve">ÖMER DİLMAÇ </t>
  </si>
  <si>
    <t>ÖMER DİLMAÇ</t>
  </si>
  <si>
    <t>NAKLİYE</t>
  </si>
  <si>
    <t>CASINO</t>
  </si>
  <si>
    <t>USD</t>
  </si>
  <si>
    <t>GZ</t>
  </si>
  <si>
    <t>TAŞERON</t>
  </si>
  <si>
    <t>MALZEME TEDARİĞİ</t>
  </si>
  <si>
    <t>CNN</t>
  </si>
  <si>
    <t>EUR</t>
  </si>
  <si>
    <t>MAKİNE EKİPMAN</t>
  </si>
  <si>
    <t>İŞÇİ LOJMAN</t>
  </si>
  <si>
    <t>STG</t>
  </si>
  <si>
    <t>ETKİNLİK MEYDANI</t>
  </si>
  <si>
    <t>ANKASAV</t>
  </si>
  <si>
    <t xml:space="preserve">ANKASAV SAVUNMA ÇELİK YAPI TURİZM İNŞAAT SANAYİ VE TİCARET LTD </t>
  </si>
  <si>
    <t xml:space="preserve">TDA OTO (Honda &amp; Yaris) </t>
  </si>
  <si>
    <t>DEMİR BAŞ</t>
  </si>
  <si>
    <t xml:space="preserve">ENVER DÜZKAR </t>
  </si>
  <si>
    <t>GÜNCEL KUR</t>
  </si>
  <si>
    <t>EDİZ METAL</t>
  </si>
  <si>
    <t>KAİZ TRADING LTD</t>
  </si>
  <si>
    <t xml:space="preserve">MUTFAK </t>
  </si>
  <si>
    <t>ALİ ÇELİK (GZ OTEL BLOK DUVAR İŞLERİ)</t>
  </si>
  <si>
    <t>ALİ ÇELİK</t>
  </si>
  <si>
    <t>KEMAL GÜREŞÇİOĞLU</t>
  </si>
  <si>
    <t>OYTUN YUNAK</t>
  </si>
  <si>
    <t>DOME TAKSİ</t>
  </si>
  <si>
    <t xml:space="preserve">CONAK ARD GERME </t>
  </si>
  <si>
    <t>EDNA ERSOYOĞLU (İŞÇİ LOJMAN İNCE TEMİZLİK)</t>
  </si>
  <si>
    <t xml:space="preserve">EDNA ERSOYOĞLU </t>
  </si>
  <si>
    <t>STG/EUR</t>
  </si>
  <si>
    <t>DAP METAL LTD</t>
  </si>
  <si>
    <t xml:space="preserve">DAP METAL LTD </t>
  </si>
  <si>
    <t>CAHİT NECİPOĞLU</t>
  </si>
  <si>
    <t>USD/EUR</t>
  </si>
  <si>
    <t>HÜDAVERDİ ÇÖYGÜN</t>
  </si>
  <si>
    <t>ED&amp;NA FORKLİFT VİNÇ</t>
  </si>
  <si>
    <t>MEPAŞ</t>
  </si>
  <si>
    <t>MEPAŞ LTD</t>
  </si>
  <si>
    <t>MOCK-UP 2. ÜNİTE</t>
  </si>
  <si>
    <t>MTH FATİH AKALIN CASINO FATURA ÖDEMESİ</t>
  </si>
  <si>
    <t>MTH YAPI IMALAT ENERJI YAZILIM SANAYI TICARET LIMITED SIRKETI</t>
  </si>
  <si>
    <t>MTH FATİH AKALIN CASINO AVANS ÖDEMESİ 2.HAKEDİŞ</t>
  </si>
  <si>
    <t>BORÇ (PARA BİRİMİ)</t>
  </si>
  <si>
    <t>TL KARŞILIĞI EUR</t>
  </si>
  <si>
    <t>USD KARŞILIĞI EUR</t>
  </si>
  <si>
    <t>STG KARŞILIĞI EUR</t>
  </si>
  <si>
    <t>TOPLAM</t>
  </si>
  <si>
    <t>FİRMA İBANLARI</t>
  </si>
  <si>
    <t>FATURALI</t>
  </si>
  <si>
    <t>FATURASIZ</t>
  </si>
  <si>
    <t xml:space="preserve">OCAK 2026 DÖNEMİ ÖDEMELER </t>
  </si>
  <si>
    <t>ASKERİYE</t>
  </si>
  <si>
    <t>MERİT</t>
  </si>
  <si>
    <t>BALO</t>
  </si>
  <si>
    <t>KANER</t>
  </si>
  <si>
    <t>EKRAK YÜKLEME
(PDF-JPG )</t>
  </si>
  <si>
    <t>GÜNCEL GİRİŞ YAPABİLECEĞİMİZ KUR TABLOSU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</si>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</sst>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#,##0.00;##&quot;-&quot;"/>
    <numFmt numFmtId="165" formatCode="_-[$₺-41F]* #,##0.00_-;\-[$₺-41F]* #,##0.00_-;_-[$₺-41F]* &quot;-&quot;??_-;_-@_-"/>
    <numFmt numFmtId="166" formatCode="#,##0.00;##;\ &quot;-&quot;"/>
    <numFmt numFmtId="167" formatCode="_-[$₺-41F]* #,##0.0000_-;\-[$₺-41F]* #,##0.0000_-;_-[$₺-41F]* &quot;-&quot;??_-;_-@_-"/>
    <numFmt numFmtId="168" formatCode="_-[$€-2]\ * #,##0.00_-;\-[$€-2]\ * #,##0.00_-;_-[$€-2]\ * &quot;-&quot;??_-;_-@_-"/>
    <numFmt numFmtId="170" formatCode="#,##0.00_ ;\-#,##0.00\ 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4"/>
      <color theme="1"/>
      <name val="Calibri"/>
      <family val="2"/>
      <charset val="162"/>
    </font>
    <font>
      <b/>
      <sz val="10"/>
      <color theme="1"/>
      <name val="Calibri"/>
      <family val="2"/>
      <charset val="162"/>
    </font>
    <font>
      <sz val="10"/>
      <color rgb="FFFF0000"/>
      <name val="Calibri"/>
      <family val="2"/>
      <charset val="162"/>
    </font>
    <font>
      <sz val="11"/>
      <name val="Calibri"/>
      <family val="2"/>
      <charset val="162"/>
    </font>
    <font>
      <i/>
      <sz val="11"/>
      <name val="Calibri"/>
      <family val="2"/>
      <charset val="162"/>
    </font>
    <font>
      <sz val="11"/>
      <name val="Wingdings"/>
      <charset val="2"/>
    </font>
    <font>
      <sz val="10"/>
      <name val="Calibri"/>
      <family val="2"/>
      <charset val="162"/>
    </font>
    <font>
      <i/>
      <sz val="10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i/>
      <sz val="10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b/>
      <i/>
      <sz val="11"/>
      <color theme="1"/>
      <name val="Calibri"/>
      <family val="2"/>
      <charset val="162"/>
    </font>
    <font>
      <b/>
      <sz val="11"/>
      <color rgb="FFFF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" fontId="10" fillId="0" borderId="1" xfId="2" applyNumberFormat="1" applyFont="1" applyFill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3" fontId="13" fillId="0" borderId="1" xfId="1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0" fontId="2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168" fontId="17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68" fontId="15" fillId="0" borderId="0" xfId="0" applyNumberFormat="1" applyFont="1" applyAlignment="1">
      <alignment horizontal="right" vertical="center"/>
    </xf>
    <xf numFmtId="168" fontId="0" fillId="0" borderId="0" xfId="0" applyNumberFormat="1"/>
    <xf numFmtId="43" fontId="7" fillId="0" borderId="0" xfId="1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right" vertical="center"/>
    </xf>
    <xf numFmtId="0" fontId="9" fillId="0" borderId="2" xfId="0" applyFont="1" applyFill="1" applyBorder="1" applyAlignment="1">
      <alignment horizontal="center" vertic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ParaBirimi" xfId="2" builtinId="4"/>
    <cellStyle name="Virgül" xfId="1" builtinId="3"/>
  </cellStyles>
  <dxfs count="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2DA5-AF24-4F93-B8D1-DE0BF7395E63}">
  <sheetPr>
    <pageSetUpPr fitToPage="1"/>
  </sheetPr>
  <dimension ref="A3:X66"/>
  <sheetViews>
    <sheetView showGridLines="0" tabSelected="1" zoomScale="70" zoomScaleNormal="70" workbookViewId="0">
      <pane xSplit="3" ySplit="4" topLeftCell="H5" activePane="bottomRight" state="frozen"/>
      <selection activeCell="B85" sqref="B85"/>
      <selection pane="topRight" activeCell="B85" sqref="B85"/>
      <selection pane="bottomLeft" activeCell="B85" sqref="B85"/>
      <selection pane="bottomRight" activeCell="M25" sqref="M25"/>
    </sheetView>
  </sheetViews>
  <sheetFormatPr defaultColWidth="9.88671875" defaultRowHeight="13.8" x14ac:dyDescent="0.3"/>
  <cols>
    <col min="1" max="1" width="3.33203125" style="1" customWidth="1"/>
    <col min="2" max="2" width="8.21875" style="1" customWidth="1"/>
    <col min="3" max="3" width="58.88671875" style="1" customWidth="1"/>
    <col min="4" max="4" width="55.88671875" style="1" customWidth="1"/>
    <col min="5" max="5" width="32.6640625" style="1" customWidth="1"/>
    <col min="6" max="6" width="36.77734375" style="1" customWidth="1"/>
    <col min="7" max="7" width="18.21875" style="1" customWidth="1"/>
    <col min="8" max="8" width="20.109375" style="1" customWidth="1"/>
    <col min="9" max="9" width="14.5546875" style="30" customWidth="1"/>
    <col min="10" max="10" width="24.6640625" style="1" customWidth="1"/>
    <col min="11" max="11" width="18.77734375" style="36" customWidth="1"/>
    <col min="12" max="12" width="21.77734375" style="36" customWidth="1"/>
    <col min="13" max="13" width="25.88671875" style="36" customWidth="1"/>
    <col min="14" max="14" width="29.77734375" style="32" customWidth="1"/>
    <col min="15" max="15" width="22.33203125" style="29" customWidth="1"/>
    <col min="16" max="16" width="17.5546875" style="20" customWidth="1"/>
    <col min="17" max="17" width="17.21875" style="1" customWidth="1"/>
    <col min="18" max="18" width="27.5546875" style="5" customWidth="1"/>
    <col min="19" max="19" width="12" style="1" bestFit="1" customWidth="1"/>
    <col min="20" max="20" width="12.44140625" style="1" customWidth="1"/>
    <col min="21" max="21" width="12.88671875" style="1" customWidth="1"/>
    <col min="22" max="22" width="10" style="1" customWidth="1"/>
    <col min="23" max="23" width="18.44140625" style="1" customWidth="1"/>
    <col min="24" max="24" width="17.33203125" style="1" customWidth="1"/>
    <col min="25" max="25" width="16.21875" style="1" bestFit="1" customWidth="1"/>
    <col min="26" max="27" width="11.21875" style="1" bestFit="1" customWidth="1"/>
    <col min="28" max="16384" width="9.88671875" style="1"/>
  </cols>
  <sheetData>
    <row r="3" spans="1:18" ht="31.8" customHeight="1" x14ac:dyDescent="0.3">
      <c r="B3" s="2"/>
      <c r="C3" s="3" t="s">
        <v>74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54"/>
      <c r="Q3" s="5"/>
    </row>
    <row r="4" spans="1:18" ht="54" x14ac:dyDescent="0.3">
      <c r="B4" s="6" t="s">
        <v>0</v>
      </c>
      <c r="C4" s="7" t="s">
        <v>1</v>
      </c>
      <c r="D4" s="7" t="s">
        <v>2</v>
      </c>
      <c r="E4" s="7" t="s">
        <v>71</v>
      </c>
      <c r="F4" s="7" t="s">
        <v>3</v>
      </c>
      <c r="G4" s="6" t="s">
        <v>4</v>
      </c>
      <c r="H4" s="7" t="s">
        <v>5</v>
      </c>
      <c r="I4" s="6" t="s">
        <v>6</v>
      </c>
      <c r="J4" s="8" t="s">
        <v>7</v>
      </c>
      <c r="K4" s="8" t="s">
        <v>8</v>
      </c>
      <c r="L4" s="9" t="s">
        <v>9</v>
      </c>
      <c r="M4" s="9" t="s">
        <v>10</v>
      </c>
      <c r="N4" s="9" t="s">
        <v>11</v>
      </c>
      <c r="O4" s="11" t="s">
        <v>12</v>
      </c>
      <c r="P4" s="56" t="s">
        <v>79</v>
      </c>
      <c r="Q4" s="12"/>
    </row>
    <row r="5" spans="1:18" s="17" customFormat="1" ht="15.6" customHeight="1" x14ac:dyDescent="0.3">
      <c r="A5" s="13"/>
      <c r="B5" s="48">
        <v>1</v>
      </c>
      <c r="C5" s="49" t="s">
        <v>13</v>
      </c>
      <c r="D5" s="49" t="s">
        <v>14</v>
      </c>
      <c r="E5" s="49"/>
      <c r="F5" s="49" t="s">
        <v>15</v>
      </c>
      <c r="G5" s="50" t="s">
        <v>72</v>
      </c>
      <c r="H5" s="48" t="s">
        <v>27</v>
      </c>
      <c r="I5" s="51" t="s">
        <v>16</v>
      </c>
      <c r="J5" s="14">
        <v>565</v>
      </c>
      <c r="K5" s="14"/>
      <c r="L5" s="14"/>
      <c r="M5" s="14"/>
      <c r="N5" s="14"/>
      <c r="O5" s="15" t="str">
        <f>IF(M5&gt;0,"ü","x")</f>
        <v>x</v>
      </c>
      <c r="P5" s="16"/>
      <c r="R5" s="18"/>
    </row>
    <row r="6" spans="1:18" s="17" customFormat="1" ht="15.6" customHeight="1" x14ac:dyDescent="0.3">
      <c r="A6" s="13"/>
      <c r="B6" s="48">
        <v>2</v>
      </c>
      <c r="C6" s="49" t="s">
        <v>17</v>
      </c>
      <c r="D6" s="49" t="s">
        <v>14</v>
      </c>
      <c r="E6" s="49"/>
      <c r="F6" s="49" t="s">
        <v>15</v>
      </c>
      <c r="G6" s="50" t="s">
        <v>73</v>
      </c>
      <c r="H6" s="48" t="s">
        <v>30</v>
      </c>
      <c r="I6" s="51" t="s">
        <v>16</v>
      </c>
      <c r="J6" s="14">
        <v>565</v>
      </c>
      <c r="K6" s="14"/>
      <c r="L6" s="14"/>
      <c r="M6" s="14"/>
      <c r="N6" s="14"/>
      <c r="O6" s="15" t="str">
        <f>IF(M6&gt;0,"ü","x")</f>
        <v>x</v>
      </c>
      <c r="P6" s="16"/>
      <c r="R6" s="18"/>
    </row>
    <row r="7" spans="1:18" s="17" customFormat="1" ht="15.6" customHeight="1" x14ac:dyDescent="0.3">
      <c r="A7" s="13"/>
      <c r="B7" s="48">
        <v>3</v>
      </c>
      <c r="C7" s="49" t="s">
        <v>18</v>
      </c>
      <c r="D7" s="49" t="s">
        <v>19</v>
      </c>
      <c r="E7" s="49"/>
      <c r="F7" s="49" t="s">
        <v>15</v>
      </c>
      <c r="G7" s="50" t="s">
        <v>72</v>
      </c>
      <c r="H7" s="48" t="s">
        <v>75</v>
      </c>
      <c r="I7" s="51" t="s">
        <v>16</v>
      </c>
      <c r="J7" s="14">
        <v>565</v>
      </c>
      <c r="K7" s="14">
        <v>5000</v>
      </c>
      <c r="L7" s="14">
        <f>+J7+K7</f>
        <v>5565</v>
      </c>
      <c r="M7" s="14">
        <v>150000</v>
      </c>
      <c r="N7" s="14">
        <f>+L7-M7</f>
        <v>-144435</v>
      </c>
      <c r="O7" s="15" t="str">
        <f>IF(M7&gt;0,"ü","x")</f>
        <v>ü</v>
      </c>
      <c r="P7" s="16"/>
      <c r="R7" s="18"/>
    </row>
    <row r="8" spans="1:18" s="17" customFormat="1" ht="15.6" customHeight="1" x14ac:dyDescent="0.3">
      <c r="A8" s="13"/>
      <c r="B8" s="48">
        <v>4</v>
      </c>
      <c r="C8" s="49" t="s">
        <v>20</v>
      </c>
      <c r="D8" s="49"/>
      <c r="E8" s="49"/>
      <c r="F8" s="49" t="s">
        <v>15</v>
      </c>
      <c r="G8" s="50" t="s">
        <v>73</v>
      </c>
      <c r="H8" s="48" t="s">
        <v>76</v>
      </c>
      <c r="I8" s="51" t="s">
        <v>16</v>
      </c>
      <c r="J8" s="14">
        <v>565</v>
      </c>
      <c r="K8" s="14">
        <v>5000</v>
      </c>
      <c r="L8" s="14">
        <f t="shared" ref="L8:L30" si="0">+J8+K8</f>
        <v>5565</v>
      </c>
      <c r="M8" s="14">
        <v>150000</v>
      </c>
      <c r="N8" s="14">
        <f t="shared" ref="N8:N30" si="1">+L8-M8</f>
        <v>-144435</v>
      </c>
      <c r="O8" s="15" t="str">
        <f>IF(M8&gt;0,"ü","x")</f>
        <v>ü</v>
      </c>
      <c r="P8" s="16"/>
      <c r="R8" s="18"/>
    </row>
    <row r="9" spans="1:18" s="17" customFormat="1" ht="15.6" customHeight="1" x14ac:dyDescent="0.3">
      <c r="B9" s="48">
        <v>5</v>
      </c>
      <c r="C9" s="49" t="s">
        <v>21</v>
      </c>
      <c r="D9" s="49"/>
      <c r="E9" s="49"/>
      <c r="F9" s="49" t="s">
        <v>15</v>
      </c>
      <c r="G9" s="50" t="s">
        <v>72</v>
      </c>
      <c r="H9" s="48" t="s">
        <v>77</v>
      </c>
      <c r="I9" s="51" t="s">
        <v>16</v>
      </c>
      <c r="J9" s="14">
        <v>150000</v>
      </c>
      <c r="K9" s="14">
        <v>5000</v>
      </c>
      <c r="L9" s="14">
        <f t="shared" si="0"/>
        <v>155000</v>
      </c>
      <c r="M9" s="14">
        <v>150000</v>
      </c>
      <c r="N9" s="14">
        <f t="shared" si="1"/>
        <v>5000</v>
      </c>
      <c r="O9" s="15" t="str">
        <f>IF(M9&gt;0,"ü","x")</f>
        <v>ü</v>
      </c>
      <c r="P9" s="16"/>
      <c r="R9" s="18"/>
    </row>
    <row r="10" spans="1:18" s="17" customFormat="1" ht="15.6" customHeight="1" x14ac:dyDescent="0.3">
      <c r="B10" s="48">
        <v>6</v>
      </c>
      <c r="C10" s="49" t="s">
        <v>22</v>
      </c>
      <c r="D10" s="49" t="s">
        <v>23</v>
      </c>
      <c r="E10" s="49"/>
      <c r="F10" s="49" t="s">
        <v>24</v>
      </c>
      <c r="G10" s="50" t="s">
        <v>73</v>
      </c>
      <c r="H10" s="48" t="s">
        <v>78</v>
      </c>
      <c r="I10" s="51" t="s">
        <v>26</v>
      </c>
      <c r="J10" s="14">
        <v>150000</v>
      </c>
      <c r="K10" s="14">
        <v>5000</v>
      </c>
      <c r="L10" s="14">
        <f t="shared" si="0"/>
        <v>155000</v>
      </c>
      <c r="M10" s="14">
        <v>150000</v>
      </c>
      <c r="N10" s="14">
        <f t="shared" si="1"/>
        <v>5000</v>
      </c>
      <c r="O10" s="15" t="str">
        <f>IF(M10&gt;0,"ü","x")</f>
        <v>ü</v>
      </c>
      <c r="P10" s="16"/>
      <c r="Q10" s="18"/>
      <c r="R10" s="18"/>
    </row>
    <row r="11" spans="1:18" s="17" customFormat="1" ht="15.6" customHeight="1" x14ac:dyDescent="0.3">
      <c r="B11" s="48">
        <v>7</v>
      </c>
      <c r="C11" s="49" t="s">
        <v>22</v>
      </c>
      <c r="D11" s="49" t="s">
        <v>23</v>
      </c>
      <c r="E11" s="49"/>
      <c r="F11" s="49" t="s">
        <v>24</v>
      </c>
      <c r="G11" s="50" t="s">
        <v>72</v>
      </c>
      <c r="H11" s="48" t="s">
        <v>27</v>
      </c>
      <c r="I11" s="51" t="s">
        <v>16</v>
      </c>
      <c r="J11" s="14">
        <v>25000</v>
      </c>
      <c r="K11" s="14">
        <v>154268</v>
      </c>
      <c r="L11" s="14">
        <f t="shared" si="0"/>
        <v>179268</v>
      </c>
      <c r="M11" s="14">
        <v>150000</v>
      </c>
      <c r="N11" s="14">
        <f t="shared" si="1"/>
        <v>29268</v>
      </c>
      <c r="O11" s="15" t="str">
        <f>IF(M11&gt;0,"ü","x")</f>
        <v>ü</v>
      </c>
      <c r="P11" s="16"/>
      <c r="Q11" s="18"/>
      <c r="R11" s="18"/>
    </row>
    <row r="12" spans="1:18" ht="15.6" customHeight="1" x14ac:dyDescent="0.3">
      <c r="B12" s="48">
        <v>8</v>
      </c>
      <c r="C12" s="49" t="s">
        <v>38</v>
      </c>
      <c r="D12" s="49"/>
      <c r="E12" s="49"/>
      <c r="F12" s="49" t="s">
        <v>39</v>
      </c>
      <c r="G12" s="50" t="s">
        <v>73</v>
      </c>
      <c r="H12" s="48" t="s">
        <v>27</v>
      </c>
      <c r="I12" s="51" t="s">
        <v>31</v>
      </c>
      <c r="J12" s="14">
        <v>150000</v>
      </c>
      <c r="K12" s="14">
        <v>5000</v>
      </c>
      <c r="L12" s="14">
        <f t="shared" si="0"/>
        <v>155000</v>
      </c>
      <c r="M12" s="14">
        <v>150000</v>
      </c>
      <c r="N12" s="14">
        <f t="shared" si="1"/>
        <v>5000</v>
      </c>
      <c r="O12" s="15" t="str">
        <f>IF(M12&gt;0,"ü","x")</f>
        <v>ü</v>
      </c>
      <c r="P12" s="16"/>
    </row>
    <row r="13" spans="1:18" ht="15.6" customHeight="1" x14ac:dyDescent="0.3">
      <c r="B13" s="48">
        <v>9</v>
      </c>
      <c r="C13" s="49" t="s">
        <v>40</v>
      </c>
      <c r="D13" s="49" t="s">
        <v>40</v>
      </c>
      <c r="E13" s="49"/>
      <c r="F13" s="49" t="s">
        <v>28</v>
      </c>
      <c r="G13" s="50" t="s">
        <v>72</v>
      </c>
      <c r="H13" s="53" t="s">
        <v>35</v>
      </c>
      <c r="I13" s="51" t="s">
        <v>34</v>
      </c>
      <c r="J13" s="14">
        <v>150000</v>
      </c>
      <c r="K13" s="14">
        <v>5000</v>
      </c>
      <c r="L13" s="14">
        <f t="shared" si="0"/>
        <v>155000</v>
      </c>
      <c r="M13" s="14">
        <v>150000</v>
      </c>
      <c r="N13" s="14">
        <f t="shared" si="1"/>
        <v>5000</v>
      </c>
      <c r="O13" s="15" t="str">
        <f>IF(M13&gt;0,"ü","x")</f>
        <v>ü</v>
      </c>
    </row>
    <row r="14" spans="1:18" ht="15.6" customHeight="1" x14ac:dyDescent="0.3">
      <c r="B14" s="48">
        <v>10</v>
      </c>
      <c r="C14" s="49" t="s">
        <v>42</v>
      </c>
      <c r="D14" s="49" t="s">
        <v>43</v>
      </c>
      <c r="E14" s="49"/>
      <c r="F14" s="49" t="s">
        <v>28</v>
      </c>
      <c r="G14" s="50" t="s">
        <v>73</v>
      </c>
      <c r="H14" s="48" t="s">
        <v>44</v>
      </c>
      <c r="I14" s="51" t="s">
        <v>31</v>
      </c>
      <c r="J14" s="14">
        <v>150000</v>
      </c>
      <c r="K14" s="14">
        <v>5000</v>
      </c>
      <c r="L14" s="14">
        <f t="shared" si="0"/>
        <v>155000</v>
      </c>
      <c r="M14" s="14">
        <v>150000</v>
      </c>
      <c r="N14" s="14">
        <f t="shared" si="1"/>
        <v>5000</v>
      </c>
      <c r="O14" s="15" t="str">
        <f>IF(M14&gt;0,"ü","x")</f>
        <v>ü</v>
      </c>
    </row>
    <row r="15" spans="1:18" ht="15.6" customHeight="1" x14ac:dyDescent="0.3">
      <c r="B15" s="48">
        <v>11</v>
      </c>
      <c r="C15" s="49" t="s">
        <v>45</v>
      </c>
      <c r="D15" s="49" t="s">
        <v>46</v>
      </c>
      <c r="E15" s="49"/>
      <c r="F15" s="49" t="s">
        <v>28</v>
      </c>
      <c r="G15" s="50" t="s">
        <v>72</v>
      </c>
      <c r="H15" s="48" t="s">
        <v>27</v>
      </c>
      <c r="I15" s="51" t="s">
        <v>16</v>
      </c>
      <c r="J15" s="14">
        <v>150000</v>
      </c>
      <c r="K15" s="14">
        <v>5000</v>
      </c>
      <c r="L15" s="14">
        <f t="shared" si="0"/>
        <v>155000</v>
      </c>
      <c r="M15" s="14">
        <v>150000</v>
      </c>
      <c r="N15" s="14">
        <f t="shared" si="1"/>
        <v>5000</v>
      </c>
      <c r="O15" s="15" t="str">
        <f>IF(M15&gt;0,"ü","x")</f>
        <v>ü</v>
      </c>
    </row>
    <row r="16" spans="1:18" ht="15.6" customHeight="1" x14ac:dyDescent="0.3">
      <c r="B16" s="48">
        <v>12</v>
      </c>
      <c r="C16" s="49" t="s">
        <v>47</v>
      </c>
      <c r="D16" s="49"/>
      <c r="E16" s="49"/>
      <c r="F16" s="49" t="s">
        <v>28</v>
      </c>
      <c r="G16" s="50" t="s">
        <v>73</v>
      </c>
      <c r="H16" s="48" t="s">
        <v>33</v>
      </c>
      <c r="I16" s="51" t="s">
        <v>31</v>
      </c>
      <c r="J16" s="14">
        <v>25000</v>
      </c>
      <c r="K16" s="14">
        <v>154268</v>
      </c>
      <c r="L16" s="14">
        <f t="shared" ref="L16:L19" si="2">+J16+K16</f>
        <v>179268</v>
      </c>
      <c r="M16" s="14">
        <v>150000</v>
      </c>
      <c r="N16" s="14">
        <f t="shared" ref="N16:N19" si="3">+L16-M16</f>
        <v>29268</v>
      </c>
      <c r="O16" s="15" t="str">
        <f>IF(M16&gt;0,"ü","x")</f>
        <v>ü</v>
      </c>
    </row>
    <row r="17" spans="2:20" ht="15.6" customHeight="1" x14ac:dyDescent="0.3">
      <c r="B17" s="48">
        <v>13</v>
      </c>
      <c r="C17" s="49" t="s">
        <v>48</v>
      </c>
      <c r="D17" s="49" t="s">
        <v>48</v>
      </c>
      <c r="E17" s="49"/>
      <c r="F17" s="49" t="s">
        <v>29</v>
      </c>
      <c r="G17" s="50" t="s">
        <v>72</v>
      </c>
      <c r="H17" s="48" t="s">
        <v>49</v>
      </c>
      <c r="I17" s="51" t="s">
        <v>16</v>
      </c>
      <c r="J17" s="14">
        <v>150000</v>
      </c>
      <c r="K17" s="14">
        <v>5000</v>
      </c>
      <c r="L17" s="14">
        <f t="shared" si="2"/>
        <v>155000</v>
      </c>
      <c r="M17" s="14">
        <v>150000</v>
      </c>
      <c r="N17" s="14">
        <f t="shared" si="3"/>
        <v>5000</v>
      </c>
      <c r="O17" s="15" t="str">
        <f>IF(M17&gt;0,"ü","x")</f>
        <v>ü</v>
      </c>
    </row>
    <row r="18" spans="2:20" ht="15.6" customHeight="1" x14ac:dyDescent="0.3">
      <c r="B18" s="48">
        <v>14</v>
      </c>
      <c r="C18" s="49" t="s">
        <v>50</v>
      </c>
      <c r="D18" s="49"/>
      <c r="E18" s="49"/>
      <c r="F18" s="49" t="s">
        <v>28</v>
      </c>
      <c r="G18" s="50" t="s">
        <v>73</v>
      </c>
      <c r="H18" s="48" t="s">
        <v>27</v>
      </c>
      <c r="I18" s="51" t="s">
        <v>31</v>
      </c>
      <c r="J18" s="14">
        <v>25000</v>
      </c>
      <c r="K18" s="14">
        <v>154268</v>
      </c>
      <c r="L18" s="14">
        <f t="shared" si="2"/>
        <v>179268</v>
      </c>
      <c r="M18" s="14">
        <v>150000</v>
      </c>
      <c r="N18" s="14">
        <f t="shared" si="3"/>
        <v>29268</v>
      </c>
      <c r="O18" s="15" t="str">
        <f>IF(M18&gt;0,"ü","x")</f>
        <v>ü</v>
      </c>
      <c r="P18" s="5"/>
    </row>
    <row r="19" spans="2:20" ht="15.6" customHeight="1" x14ac:dyDescent="0.3">
      <c r="B19" s="48">
        <v>15</v>
      </c>
      <c r="C19" s="49" t="s">
        <v>51</v>
      </c>
      <c r="D19" s="49" t="s">
        <v>52</v>
      </c>
      <c r="E19" s="49"/>
      <c r="F19" s="49" t="s">
        <v>28</v>
      </c>
      <c r="G19" s="50" t="s">
        <v>73</v>
      </c>
      <c r="H19" s="48"/>
      <c r="I19" s="51" t="s">
        <v>16</v>
      </c>
      <c r="J19" s="14">
        <v>25000</v>
      </c>
      <c r="K19" s="14">
        <v>154268</v>
      </c>
      <c r="L19" s="14">
        <f t="shared" si="2"/>
        <v>179268</v>
      </c>
      <c r="M19" s="14">
        <v>150000</v>
      </c>
      <c r="N19" s="14">
        <f t="shared" si="3"/>
        <v>29268</v>
      </c>
      <c r="O19" s="15" t="str">
        <f>IF(M19&gt;0,"ü","x")</f>
        <v>ü</v>
      </c>
      <c r="P19" s="1"/>
      <c r="Q19" s="55" t="s">
        <v>80</v>
      </c>
      <c r="R19" s="55"/>
    </row>
    <row r="20" spans="2:20" ht="15.6" customHeight="1" x14ac:dyDescent="0.3">
      <c r="B20" s="48">
        <v>16</v>
      </c>
      <c r="C20" s="49" t="s">
        <v>54</v>
      </c>
      <c r="D20" s="49" t="s">
        <v>55</v>
      </c>
      <c r="E20" s="49"/>
      <c r="F20" s="49" t="s">
        <v>28</v>
      </c>
      <c r="G20" s="50" t="s">
        <v>72</v>
      </c>
      <c r="H20" s="48" t="s">
        <v>27</v>
      </c>
      <c r="I20" s="51" t="s">
        <v>31</v>
      </c>
      <c r="J20" s="14">
        <v>150000</v>
      </c>
      <c r="K20" s="14">
        <v>5000</v>
      </c>
      <c r="L20" s="14">
        <f t="shared" si="0"/>
        <v>155000</v>
      </c>
      <c r="M20" s="14">
        <v>150000</v>
      </c>
      <c r="N20" s="14">
        <f t="shared" si="1"/>
        <v>5000</v>
      </c>
      <c r="O20" s="15" t="str">
        <f>IF(M20&gt;0,"ü","x")</f>
        <v>ü</v>
      </c>
      <c r="Q20" s="21" t="s">
        <v>41</v>
      </c>
      <c r="R20" s="21"/>
    </row>
    <row r="21" spans="2:20" ht="15.6" customHeight="1" x14ac:dyDescent="0.3">
      <c r="B21" s="48">
        <v>17</v>
      </c>
      <c r="C21" s="49" t="s">
        <v>56</v>
      </c>
      <c r="D21" s="49" t="s">
        <v>56</v>
      </c>
      <c r="E21" s="49"/>
      <c r="F21" s="49" t="s">
        <v>29</v>
      </c>
      <c r="G21" s="50" t="s">
        <v>73</v>
      </c>
      <c r="H21" s="48" t="s">
        <v>35</v>
      </c>
      <c r="I21" s="51" t="s">
        <v>31</v>
      </c>
      <c r="J21" s="14">
        <v>150000</v>
      </c>
      <c r="K21" s="14">
        <v>5000</v>
      </c>
      <c r="L21" s="14">
        <f t="shared" si="0"/>
        <v>155000</v>
      </c>
      <c r="M21" s="14">
        <v>150000</v>
      </c>
      <c r="N21" s="14">
        <f t="shared" si="1"/>
        <v>5000</v>
      </c>
      <c r="O21" s="15" t="str">
        <f>IF(M21&gt;0,"ü","x")</f>
        <v>ü</v>
      </c>
      <c r="Q21" s="22">
        <f ca="1">+TODAY()</f>
        <v>46039</v>
      </c>
      <c r="R21" s="21"/>
    </row>
    <row r="22" spans="2:20" ht="15.6" customHeight="1" x14ac:dyDescent="0.3">
      <c r="B22" s="48">
        <v>18</v>
      </c>
      <c r="C22" s="49" t="s">
        <v>58</v>
      </c>
      <c r="D22" s="49" t="s">
        <v>58</v>
      </c>
      <c r="E22" s="49"/>
      <c r="F22" s="49" t="s">
        <v>28</v>
      </c>
      <c r="G22" s="50" t="s">
        <v>73</v>
      </c>
      <c r="H22" s="48" t="s">
        <v>35</v>
      </c>
      <c r="I22" s="51" t="s">
        <v>16</v>
      </c>
      <c r="J22" s="14">
        <v>150000</v>
      </c>
      <c r="K22" s="14">
        <v>5000</v>
      </c>
      <c r="L22" s="14">
        <f t="shared" si="0"/>
        <v>155000</v>
      </c>
      <c r="M22" s="14">
        <v>150000</v>
      </c>
      <c r="N22" s="14">
        <f t="shared" si="1"/>
        <v>5000</v>
      </c>
      <c r="O22" s="15" t="str">
        <f>IF(M22&gt;0,"ü","x")</f>
        <v>ü</v>
      </c>
      <c r="Q22" s="23" t="s">
        <v>16</v>
      </c>
      <c r="R22" s="24">
        <v>1</v>
      </c>
    </row>
    <row r="23" spans="2:20" ht="15.6" customHeight="1" x14ac:dyDescent="0.3">
      <c r="B23" s="48">
        <v>19</v>
      </c>
      <c r="C23" s="49" t="s">
        <v>59</v>
      </c>
      <c r="D23" s="49"/>
      <c r="E23" s="49"/>
      <c r="F23" s="49" t="s">
        <v>32</v>
      </c>
      <c r="G23" s="50" t="s">
        <v>72</v>
      </c>
      <c r="H23" s="48" t="s">
        <v>25</v>
      </c>
      <c r="I23" s="51" t="s">
        <v>26</v>
      </c>
      <c r="J23" s="14">
        <v>150000</v>
      </c>
      <c r="K23" s="14">
        <v>5000</v>
      </c>
      <c r="L23" s="14">
        <f t="shared" si="0"/>
        <v>155000</v>
      </c>
      <c r="M23" s="14">
        <v>150000</v>
      </c>
      <c r="N23" s="14">
        <f t="shared" si="1"/>
        <v>5000</v>
      </c>
      <c r="O23" s="15" t="str">
        <f t="shared" ref="O23:O30" si="4">IF(M23&gt;0,"ü","x")</f>
        <v>ü</v>
      </c>
      <c r="Q23" s="23" t="s">
        <v>26</v>
      </c>
      <c r="R23" s="24">
        <v>43.1</v>
      </c>
    </row>
    <row r="24" spans="2:20" ht="15.6" customHeight="1" x14ac:dyDescent="0.3">
      <c r="B24" s="48">
        <v>20</v>
      </c>
      <c r="C24" s="49" t="s">
        <v>60</v>
      </c>
      <c r="D24" s="49" t="s">
        <v>61</v>
      </c>
      <c r="E24" s="49"/>
      <c r="F24" s="49" t="s">
        <v>29</v>
      </c>
      <c r="G24" s="50" t="s">
        <v>73</v>
      </c>
      <c r="H24" s="48" t="s">
        <v>25</v>
      </c>
      <c r="I24" s="51" t="s">
        <v>26</v>
      </c>
      <c r="J24" s="14">
        <v>150000</v>
      </c>
      <c r="K24" s="14">
        <v>5000</v>
      </c>
      <c r="L24" s="14">
        <f t="shared" si="0"/>
        <v>155000</v>
      </c>
      <c r="M24" s="14">
        <v>150000</v>
      </c>
      <c r="N24" s="14">
        <f t="shared" si="1"/>
        <v>5000</v>
      </c>
      <c r="O24" s="15" t="str">
        <f t="shared" si="4"/>
        <v>ü</v>
      </c>
      <c r="Q24" s="23"/>
      <c r="R24" s="24"/>
    </row>
    <row r="25" spans="2:20" ht="15.6" customHeight="1" x14ac:dyDescent="0.3">
      <c r="B25" s="48">
        <v>21</v>
      </c>
      <c r="C25" s="49" t="s">
        <v>60</v>
      </c>
      <c r="D25" s="49" t="s">
        <v>61</v>
      </c>
      <c r="E25" s="49"/>
      <c r="F25" s="49" t="s">
        <v>29</v>
      </c>
      <c r="G25" s="50" t="s">
        <v>72</v>
      </c>
      <c r="H25" s="48" t="s">
        <v>25</v>
      </c>
      <c r="I25" s="51" t="s">
        <v>31</v>
      </c>
      <c r="J25" s="14">
        <v>150000</v>
      </c>
      <c r="K25" s="14">
        <v>5000</v>
      </c>
      <c r="L25" s="14">
        <f t="shared" si="0"/>
        <v>155000</v>
      </c>
      <c r="M25" s="14">
        <v>150000</v>
      </c>
      <c r="N25" s="14">
        <f t="shared" si="1"/>
        <v>5000</v>
      </c>
      <c r="O25" s="15" t="str">
        <f t="shared" si="4"/>
        <v>ü</v>
      </c>
      <c r="Q25" s="23" t="s">
        <v>31</v>
      </c>
      <c r="R25" s="24">
        <v>50</v>
      </c>
    </row>
    <row r="26" spans="2:20" ht="15.6" customHeight="1" x14ac:dyDescent="0.3">
      <c r="B26" s="48">
        <v>22</v>
      </c>
      <c r="C26" s="49" t="s">
        <v>60</v>
      </c>
      <c r="D26" s="49" t="s">
        <v>61</v>
      </c>
      <c r="E26" s="49"/>
      <c r="F26" s="49" t="s">
        <v>29</v>
      </c>
      <c r="G26" s="50" t="s">
        <v>73</v>
      </c>
      <c r="H26" s="48" t="s">
        <v>25</v>
      </c>
      <c r="I26" s="51" t="s">
        <v>16</v>
      </c>
      <c r="J26" s="14">
        <v>150000</v>
      </c>
      <c r="K26" s="14">
        <v>5000</v>
      </c>
      <c r="L26" s="14">
        <f t="shared" si="0"/>
        <v>155000</v>
      </c>
      <c r="M26" s="14">
        <v>150000</v>
      </c>
      <c r="N26" s="14">
        <f t="shared" si="1"/>
        <v>5000</v>
      </c>
      <c r="O26" s="15" t="str">
        <f t="shared" si="4"/>
        <v>ü</v>
      </c>
      <c r="Q26" s="23" t="s">
        <v>34</v>
      </c>
      <c r="R26" s="24">
        <v>57.8</v>
      </c>
    </row>
    <row r="27" spans="2:20" ht="15.6" customHeight="1" x14ac:dyDescent="0.3">
      <c r="B27" s="48">
        <v>23</v>
      </c>
      <c r="C27" s="49" t="s">
        <v>36</v>
      </c>
      <c r="D27" s="52" t="s">
        <v>37</v>
      </c>
      <c r="E27" s="52"/>
      <c r="F27" s="49" t="s">
        <v>28</v>
      </c>
      <c r="G27" s="50" t="s">
        <v>72</v>
      </c>
      <c r="H27" s="48" t="s">
        <v>62</v>
      </c>
      <c r="I27" s="51" t="s">
        <v>31</v>
      </c>
      <c r="J27" s="14">
        <v>150000</v>
      </c>
      <c r="K27" s="14">
        <v>5000</v>
      </c>
      <c r="L27" s="14">
        <f t="shared" si="0"/>
        <v>155000</v>
      </c>
      <c r="M27" s="14">
        <v>150000</v>
      </c>
      <c r="N27" s="14">
        <f t="shared" si="1"/>
        <v>5000</v>
      </c>
      <c r="O27" s="15" t="str">
        <f t="shared" si="4"/>
        <v>ü</v>
      </c>
      <c r="Q27" s="23"/>
      <c r="R27" s="24"/>
    </row>
    <row r="28" spans="2:20" ht="25.2" customHeight="1" x14ac:dyDescent="0.3">
      <c r="B28" s="48">
        <v>24</v>
      </c>
      <c r="C28" s="49" t="s">
        <v>36</v>
      </c>
      <c r="D28" s="52" t="s">
        <v>37</v>
      </c>
      <c r="E28" s="52"/>
      <c r="F28" s="49" t="s">
        <v>28</v>
      </c>
      <c r="G28" s="50" t="s">
        <v>73</v>
      </c>
      <c r="H28" s="48" t="s">
        <v>25</v>
      </c>
      <c r="I28" s="51" t="s">
        <v>31</v>
      </c>
      <c r="J28" s="14">
        <v>150000</v>
      </c>
      <c r="K28" s="14">
        <v>5000</v>
      </c>
      <c r="L28" s="14">
        <f t="shared" si="0"/>
        <v>155000</v>
      </c>
      <c r="M28" s="14">
        <v>150000</v>
      </c>
      <c r="N28" s="14">
        <f t="shared" si="1"/>
        <v>5000</v>
      </c>
      <c r="O28" s="15" t="str">
        <f t="shared" si="4"/>
        <v>ü</v>
      </c>
      <c r="Q28" s="25" t="s">
        <v>53</v>
      </c>
      <c r="R28" s="26">
        <f>+R26/R25</f>
        <v>1.1559999999999999</v>
      </c>
      <c r="S28" s="19"/>
    </row>
    <row r="29" spans="2:20" ht="25.2" customHeight="1" x14ac:dyDescent="0.3">
      <c r="B29" s="48">
        <v>25</v>
      </c>
      <c r="C29" s="49" t="s">
        <v>63</v>
      </c>
      <c r="D29" s="52" t="s">
        <v>64</v>
      </c>
      <c r="E29" s="52"/>
      <c r="F29" s="49" t="s">
        <v>28</v>
      </c>
      <c r="G29" s="50" t="s">
        <v>72</v>
      </c>
      <c r="H29" s="48" t="s">
        <v>25</v>
      </c>
      <c r="I29" s="51" t="s">
        <v>16</v>
      </c>
      <c r="J29" s="14">
        <v>150000</v>
      </c>
      <c r="K29" s="14">
        <v>5000</v>
      </c>
      <c r="L29" s="14">
        <f t="shared" si="0"/>
        <v>155000</v>
      </c>
      <c r="M29" s="14">
        <v>150000</v>
      </c>
      <c r="N29" s="14">
        <f t="shared" si="1"/>
        <v>5000</v>
      </c>
      <c r="O29" s="15" t="str">
        <f t="shared" si="4"/>
        <v>ü</v>
      </c>
      <c r="Q29" s="25"/>
      <c r="R29" s="27"/>
      <c r="S29" s="19"/>
    </row>
    <row r="30" spans="2:20" ht="25.2" customHeight="1" x14ac:dyDescent="0.3">
      <c r="B30" s="48">
        <v>26</v>
      </c>
      <c r="C30" s="49" t="s">
        <v>65</v>
      </c>
      <c r="D30" s="52" t="s">
        <v>64</v>
      </c>
      <c r="E30" s="52"/>
      <c r="F30" s="49" t="s">
        <v>28</v>
      </c>
      <c r="G30" s="50" t="s">
        <v>73</v>
      </c>
      <c r="H30" s="48" t="s">
        <v>25</v>
      </c>
      <c r="I30" s="51" t="s">
        <v>31</v>
      </c>
      <c r="J30" s="14">
        <v>150000</v>
      </c>
      <c r="K30" s="14">
        <v>5000</v>
      </c>
      <c r="L30" s="14">
        <f t="shared" si="0"/>
        <v>155000</v>
      </c>
      <c r="M30" s="14">
        <v>150000</v>
      </c>
      <c r="N30" s="14">
        <f t="shared" si="1"/>
        <v>5000</v>
      </c>
      <c r="O30" s="15" t="str">
        <f t="shared" si="4"/>
        <v>ü</v>
      </c>
      <c r="Q30" s="25" t="s">
        <v>57</v>
      </c>
      <c r="R30" s="26">
        <f>+R23/R25</f>
        <v>0.86199999999999999</v>
      </c>
      <c r="S30" s="19"/>
    </row>
    <row r="31" spans="2:20" ht="25.2" customHeight="1" x14ac:dyDescent="0.3">
      <c r="I31" s="31"/>
      <c r="J31" s="31"/>
      <c r="K31" s="31"/>
      <c r="L31" s="31"/>
      <c r="M31" s="31"/>
      <c r="N31" s="31"/>
      <c r="R31" s="1"/>
      <c r="S31" s="19"/>
      <c r="T31" s="28"/>
    </row>
    <row r="32" spans="2:20" ht="27.6" x14ac:dyDescent="0.3">
      <c r="I32" s="21" t="str">
        <f>+I4</f>
        <v>PARA BİRİMİ</v>
      </c>
      <c r="J32" s="10" t="str">
        <f>+J4</f>
        <v>ÖNCEKİ
DÖNEMDEN KALAN BORÇ</v>
      </c>
      <c r="K32" s="33" t="str">
        <f>+K4</f>
        <v>BU AYKİ BORÇ</v>
      </c>
      <c r="L32" s="33" t="str">
        <f>+L4</f>
        <v>TOPLAM BOÇ</v>
      </c>
      <c r="M32" s="33" t="str">
        <f>+M4</f>
        <v>BU AY ÖDENEN</v>
      </c>
      <c r="N32" s="33" t="str">
        <f>+N4</f>
        <v>KALAN</v>
      </c>
    </row>
    <row r="33" spans="2:16" ht="28.2" customHeight="1" x14ac:dyDescent="0.3">
      <c r="I33" s="34" t="s">
        <v>16</v>
      </c>
      <c r="J33" s="35">
        <f>SUMIF($I$5:$I$30,I33,$J$5:$J$30)</f>
        <v>952260</v>
      </c>
      <c r="K33" s="35">
        <f>SUMIF($I$5:$I$30,I33,$K$5:$K$30)</f>
        <v>348536</v>
      </c>
      <c r="L33" s="35">
        <f>SUMIF($I$5:$I$30,I33,$L$5:$L$30)</f>
        <v>1299666</v>
      </c>
      <c r="M33" s="35">
        <f>SUMIF($I$5:$I$30,I33,$M$5:$M$30)</f>
        <v>1500000</v>
      </c>
      <c r="N33" s="35">
        <f>SUMIF($I$5:$I$30,I33,$N$5:$Q$31)</f>
        <v>-200334</v>
      </c>
    </row>
    <row r="34" spans="2:16" x14ac:dyDescent="0.3">
      <c r="I34" s="34" t="s">
        <v>26</v>
      </c>
      <c r="J34" s="35">
        <f>SUMIF($I$5:$I$30,I34,$J$5:$J$30)</f>
        <v>450000</v>
      </c>
      <c r="K34" s="35">
        <f>SUMIF($I$5:$I$30,I34,$K$5:$K$30)</f>
        <v>15000</v>
      </c>
      <c r="L34" s="35">
        <f>SUMIF($I$5:$I$30,I34,$L$5:$L$30)</f>
        <v>465000</v>
      </c>
      <c r="M34" s="35">
        <f>SUMIF($I$5:$I$30,I34,$M$5:$M$30)</f>
        <v>450000</v>
      </c>
      <c r="N34" s="35">
        <f>SUMIF($I$5:$I$30,I34,$N$5:$Q$31)</f>
        <v>15000</v>
      </c>
    </row>
    <row r="35" spans="2:16" x14ac:dyDescent="0.3">
      <c r="I35" s="34" t="s">
        <v>31</v>
      </c>
      <c r="J35" s="35">
        <f>SUMIF($I$5:$I$30,I35,$J$5:$J$30)</f>
        <v>1250000</v>
      </c>
      <c r="K35" s="35">
        <f>SUMIF($I$5:$I$30,I35,$K$5:$K$30)</f>
        <v>348536</v>
      </c>
      <c r="L35" s="35">
        <f>SUMIF($I$5:$I$30,I35,$L$5:$L$30)</f>
        <v>1598536</v>
      </c>
      <c r="M35" s="35">
        <f>SUMIF($I$5:$I$30,I35,$M$5:$M$30)</f>
        <v>1500000</v>
      </c>
      <c r="N35" s="35">
        <f>SUMIF($I$5:$I$30,I35,$N$5:$Q$31)</f>
        <v>98536</v>
      </c>
    </row>
    <row r="36" spans="2:16" x14ac:dyDescent="0.3">
      <c r="I36" s="34" t="s">
        <v>34</v>
      </c>
      <c r="J36" s="35">
        <f>SUMIF($I$5:$I$30,I36,$J$5:$J$30)</f>
        <v>150000</v>
      </c>
      <c r="K36" s="35">
        <f>SUMIF($I$5:$I$30,I36,$K$5:$K$30)</f>
        <v>5000</v>
      </c>
      <c r="L36" s="35">
        <f>SUMIF($I$5:$I$30,I36,$L$5:$L$30)</f>
        <v>155000</v>
      </c>
      <c r="M36" s="35">
        <f>SUMIF($I$5:$I$30,I36,$M$5:$M$30)</f>
        <v>150000</v>
      </c>
      <c r="N36" s="35">
        <f>SUMIF($I$5:$I$30,I36,$N$5:$Q$31)</f>
        <v>5000</v>
      </c>
      <c r="O36" s="36"/>
      <c r="P36" s="36"/>
    </row>
    <row r="37" spans="2:16" x14ac:dyDescent="0.3">
      <c r="P37" s="36"/>
    </row>
    <row r="38" spans="2:16" ht="14.4" x14ac:dyDescent="0.3">
      <c r="H38" s="37"/>
      <c r="I38" s="37"/>
      <c r="J38" s="37"/>
      <c r="K38" s="37"/>
      <c r="L38" s="37"/>
      <c r="M38" s="37"/>
      <c r="N38" s="37"/>
      <c r="P38" s="36"/>
    </row>
    <row r="39" spans="2:16" ht="27.6" x14ac:dyDescent="0.3">
      <c r="H39" s="38" t="s">
        <v>66</v>
      </c>
      <c r="I39" s="38"/>
      <c r="J39" s="10" t="str">
        <f>+J4</f>
        <v>ÖNCEKİ
DÖNEMDEN KALAN BORÇ</v>
      </c>
      <c r="K39" s="10" t="str">
        <f>+K4</f>
        <v>BU AYKİ BORÇ</v>
      </c>
      <c r="L39" s="10" t="str">
        <f>+L4</f>
        <v>TOPLAM BOÇ</v>
      </c>
      <c r="M39" s="10" t="str">
        <f>+M4</f>
        <v>BU AY ÖDENEN</v>
      </c>
      <c r="N39" s="10" t="str">
        <f>+N4</f>
        <v>KALAN</v>
      </c>
      <c r="P39" s="36"/>
    </row>
    <row r="40" spans="2:16" x14ac:dyDescent="0.3">
      <c r="H40" s="39" t="s">
        <v>67</v>
      </c>
      <c r="I40" s="39"/>
      <c r="J40" s="40">
        <f>+J33/$R$25</f>
        <v>19045.2</v>
      </c>
      <c r="K40" s="40">
        <f>+K33/$R$25</f>
        <v>6970.72</v>
      </c>
      <c r="L40" s="40">
        <f>+L33/$R$25</f>
        <v>25993.32</v>
      </c>
      <c r="M40" s="40">
        <f>+M33/$R$25</f>
        <v>30000</v>
      </c>
      <c r="N40" s="40">
        <f>+N33/$R$25</f>
        <v>-4006.68</v>
      </c>
      <c r="P40" s="36"/>
    </row>
    <row r="41" spans="2:16" x14ac:dyDescent="0.3">
      <c r="H41" s="39" t="s">
        <v>68</v>
      </c>
      <c r="I41" s="39"/>
      <c r="J41" s="40">
        <f>+J34*$R$30</f>
        <v>387900</v>
      </c>
      <c r="K41" s="40">
        <f>+K34*$R$30</f>
        <v>12930</v>
      </c>
      <c r="L41" s="40">
        <f>+L34*$R$30</f>
        <v>400830</v>
      </c>
      <c r="M41" s="40">
        <f>+M34*$R$30</f>
        <v>387900</v>
      </c>
      <c r="N41" s="40">
        <f>+N34*$R$30</f>
        <v>12930</v>
      </c>
      <c r="P41" s="36" t="s">
        <v>81</v>
      </c>
    </row>
    <row r="42" spans="2:16" x14ac:dyDescent="0.3">
      <c r="H42" s="39" t="s">
        <v>31</v>
      </c>
      <c r="I42" s="39"/>
      <c r="J42" s="40">
        <f>+J35</f>
        <v>1250000</v>
      </c>
      <c r="K42" s="40">
        <f>+K35</f>
        <v>348536</v>
      </c>
      <c r="L42" s="40">
        <f>+L35</f>
        <v>1598536</v>
      </c>
      <c r="M42" s="40">
        <f>+M35</f>
        <v>1500000</v>
      </c>
      <c r="N42" s="40">
        <f>+N35</f>
        <v>98536</v>
      </c>
      <c r="O42" s="36"/>
      <c r="P42" s="36"/>
    </row>
    <row r="43" spans="2:16" x14ac:dyDescent="0.3">
      <c r="H43" s="39" t="s">
        <v>69</v>
      </c>
      <c r="I43" s="39"/>
      <c r="J43" s="40">
        <f>+J36*$R$28</f>
        <v>173400</v>
      </c>
      <c r="K43" s="40">
        <f>+K36*$R$28</f>
        <v>5780</v>
      </c>
      <c r="L43" s="40">
        <f>+L36*$R$28</f>
        <v>179180</v>
      </c>
      <c r="M43" s="40">
        <f>+M36*$R$28</f>
        <v>173400</v>
      </c>
      <c r="N43" s="40">
        <f>+N36*$R$28</f>
        <v>5780</v>
      </c>
      <c r="O43" s="36"/>
      <c r="P43" s="36"/>
    </row>
    <row r="44" spans="2:16" ht="14.4" x14ac:dyDescent="0.3">
      <c r="B44" s="41"/>
      <c r="C44" s="41"/>
      <c r="D44" s="41"/>
      <c r="E44" s="41"/>
      <c r="F44" s="41"/>
      <c r="G44" s="41"/>
      <c r="H44" s="42" t="s">
        <v>70</v>
      </c>
      <c r="I44" s="42"/>
      <c r="J44" s="43">
        <f>SUM(J40:J43)</f>
        <v>1830345.2</v>
      </c>
      <c r="K44" s="43">
        <f>SUM(K40:K43)</f>
        <v>374216.72</v>
      </c>
      <c r="L44" s="43">
        <f>SUM(L40:L43)</f>
        <v>2204539.3200000003</v>
      </c>
      <c r="M44" s="43">
        <f>SUM(M40:M43)</f>
        <v>2091300</v>
      </c>
      <c r="N44" s="43">
        <f t="shared" ref="N44" si="5">SUM(N40:N43)</f>
        <v>113239.32</v>
      </c>
      <c r="O44" s="44"/>
      <c r="P44" s="36"/>
    </row>
    <row r="45" spans="2:16" ht="14.4" x14ac:dyDescent="0.3">
      <c r="H45" s="30"/>
      <c r="J45" s="45"/>
      <c r="K45" s="45"/>
      <c r="L45" s="45"/>
      <c r="N45"/>
      <c r="P45" s="36"/>
    </row>
    <row r="46" spans="2:16" ht="14.4" x14ac:dyDescent="0.3">
      <c r="L46"/>
      <c r="N46" s="46"/>
      <c r="P46" s="36"/>
    </row>
    <row r="47" spans="2:16" ht="14.4" x14ac:dyDescent="0.3">
      <c r="N47"/>
      <c r="O47"/>
      <c r="P47" s="36"/>
    </row>
    <row r="48" spans="2:16" ht="14.4" x14ac:dyDescent="0.3">
      <c r="N48"/>
      <c r="O48"/>
      <c r="P48" s="36"/>
    </row>
    <row r="49" spans="1:24" x14ac:dyDescent="0.3">
      <c r="P49" s="36"/>
    </row>
    <row r="50" spans="1:24" x14ac:dyDescent="0.3">
      <c r="I50" s="47"/>
      <c r="P50" s="36"/>
    </row>
    <row r="51" spans="1:24" x14ac:dyDescent="0.3">
      <c r="I51" s="47"/>
      <c r="N51" s="36"/>
      <c r="O51" s="36"/>
    </row>
    <row r="52" spans="1:24" s="20" customFormat="1" x14ac:dyDescent="0.3">
      <c r="A52" s="1"/>
      <c r="B52" s="1"/>
      <c r="C52" s="1"/>
      <c r="D52" s="1"/>
      <c r="E52" s="1"/>
      <c r="F52" s="1"/>
      <c r="G52" s="1"/>
      <c r="H52" s="1"/>
      <c r="I52" s="47"/>
      <c r="J52" s="1"/>
      <c r="K52" s="36"/>
      <c r="L52" s="36"/>
      <c r="M52" s="36"/>
      <c r="N52" s="36"/>
      <c r="O52" s="36"/>
      <c r="Q52" s="1"/>
      <c r="R52" s="5"/>
      <c r="S52" s="1"/>
      <c r="T52" s="1"/>
      <c r="U52" s="1"/>
      <c r="V52" s="1"/>
      <c r="W52" s="1"/>
      <c r="X52" s="1"/>
    </row>
    <row r="53" spans="1:24" s="20" customFormat="1" x14ac:dyDescent="0.3">
      <c r="A53" s="1"/>
      <c r="B53" s="1"/>
      <c r="C53" s="1"/>
      <c r="D53" s="1"/>
      <c r="E53" s="1"/>
      <c r="F53" s="1"/>
      <c r="G53" s="1"/>
      <c r="H53" s="1"/>
      <c r="I53" s="47"/>
      <c r="J53" s="1"/>
      <c r="K53" s="36"/>
      <c r="L53" s="36"/>
      <c r="M53" s="36"/>
      <c r="N53" s="36"/>
      <c r="O53" s="36"/>
      <c r="Q53" s="1"/>
      <c r="R53" s="5"/>
      <c r="S53" s="1"/>
      <c r="T53" s="1"/>
      <c r="U53" s="1"/>
      <c r="V53" s="1"/>
      <c r="W53" s="1"/>
      <c r="X53" s="1"/>
    </row>
    <row r="54" spans="1:24" s="20" customFormat="1" x14ac:dyDescent="0.3">
      <c r="A54" s="1"/>
      <c r="B54" s="1"/>
      <c r="C54" s="1"/>
      <c r="D54" s="1"/>
      <c r="E54" s="1"/>
      <c r="F54" s="1"/>
      <c r="G54" s="1"/>
      <c r="H54" s="1"/>
      <c r="I54" s="47"/>
      <c r="J54" s="1"/>
      <c r="K54" s="36"/>
      <c r="L54" s="36"/>
      <c r="M54" s="36"/>
      <c r="N54" s="36"/>
      <c r="O54" s="36"/>
      <c r="Q54" s="1"/>
      <c r="R54" s="5"/>
      <c r="S54" s="1"/>
      <c r="T54" s="1"/>
      <c r="U54" s="1"/>
      <c r="V54" s="1"/>
      <c r="W54" s="1"/>
      <c r="X54" s="1"/>
    </row>
    <row r="55" spans="1:24" s="20" customFormat="1" x14ac:dyDescent="0.3">
      <c r="A55" s="1"/>
      <c r="B55" s="1"/>
      <c r="C55" s="1"/>
      <c r="D55" s="1"/>
      <c r="E55" s="1"/>
      <c r="F55" s="1"/>
      <c r="G55" s="1"/>
      <c r="H55" s="1"/>
      <c r="I55" s="47"/>
      <c r="J55" s="1"/>
      <c r="K55" s="36"/>
      <c r="L55" s="36"/>
      <c r="M55" s="36"/>
      <c r="N55" s="36"/>
      <c r="O55" s="36"/>
      <c r="Q55" s="1"/>
      <c r="R55" s="5"/>
      <c r="S55" s="1"/>
      <c r="T55" s="1"/>
      <c r="U55" s="1"/>
      <c r="V55" s="1"/>
      <c r="W55" s="1"/>
      <c r="X55" s="1"/>
    </row>
    <row r="56" spans="1:24" s="20" customFormat="1" x14ac:dyDescent="0.3">
      <c r="A56" s="1"/>
      <c r="B56" s="1"/>
      <c r="C56" s="1"/>
      <c r="D56" s="1"/>
      <c r="E56" s="1"/>
      <c r="F56" s="1"/>
      <c r="G56" s="1"/>
      <c r="H56" s="1"/>
      <c r="I56" s="47"/>
      <c r="J56" s="1"/>
      <c r="K56" s="36"/>
      <c r="L56" s="36"/>
      <c r="M56" s="36"/>
      <c r="N56" s="36"/>
      <c r="O56" s="36"/>
      <c r="Q56" s="1"/>
      <c r="R56" s="5"/>
      <c r="S56" s="1"/>
      <c r="T56" s="1"/>
      <c r="U56" s="1"/>
      <c r="V56" s="1"/>
      <c r="W56" s="1"/>
      <c r="X56" s="1"/>
    </row>
    <row r="57" spans="1:24" s="20" customFormat="1" x14ac:dyDescent="0.3">
      <c r="A57" s="1"/>
      <c r="B57" s="1"/>
      <c r="C57" s="1"/>
      <c r="D57" s="1"/>
      <c r="E57" s="1"/>
      <c r="F57" s="1"/>
      <c r="G57" s="1"/>
      <c r="H57" s="1"/>
      <c r="I57" s="47"/>
      <c r="J57" s="1"/>
      <c r="K57" s="36"/>
      <c r="L57" s="36"/>
      <c r="M57" s="36"/>
      <c r="N57" s="36"/>
      <c r="O57" s="36"/>
      <c r="Q57" s="1"/>
      <c r="R57" s="5"/>
      <c r="S57" s="1"/>
      <c r="T57" s="1"/>
      <c r="U57" s="1"/>
      <c r="V57" s="1"/>
      <c r="W57" s="1"/>
      <c r="X57" s="1"/>
    </row>
    <row r="58" spans="1:24" s="20" customFormat="1" x14ac:dyDescent="0.3">
      <c r="A58" s="1"/>
      <c r="B58" s="1"/>
      <c r="C58" s="1"/>
      <c r="D58" s="1"/>
      <c r="E58" s="1"/>
      <c r="F58" s="1"/>
      <c r="G58" s="1"/>
      <c r="H58" s="1"/>
      <c r="I58" s="47"/>
      <c r="J58" s="1"/>
      <c r="K58" s="36"/>
      <c r="L58" s="36"/>
      <c r="M58" s="36"/>
      <c r="N58" s="36"/>
      <c r="O58" s="36"/>
      <c r="Q58" s="1"/>
      <c r="R58" s="5"/>
      <c r="S58" s="1"/>
      <c r="T58" s="1"/>
      <c r="U58" s="1"/>
      <c r="V58" s="1"/>
      <c r="W58" s="1"/>
      <c r="X58" s="1"/>
    </row>
    <row r="59" spans="1:24" s="20" customFormat="1" x14ac:dyDescent="0.3">
      <c r="A59" s="1"/>
      <c r="B59" s="1"/>
      <c r="C59" s="1"/>
      <c r="D59" s="1"/>
      <c r="E59" s="1"/>
      <c r="F59" s="1"/>
      <c r="G59" s="1"/>
      <c r="H59" s="1"/>
      <c r="I59" s="47"/>
      <c r="J59" s="1"/>
      <c r="K59" s="36"/>
      <c r="L59" s="36"/>
      <c r="M59" s="36"/>
      <c r="N59" s="36"/>
      <c r="O59" s="36"/>
      <c r="Q59" s="1"/>
      <c r="R59" s="5"/>
      <c r="S59" s="1"/>
      <c r="T59" s="1"/>
      <c r="U59" s="1"/>
      <c r="V59" s="1"/>
      <c r="W59" s="1"/>
      <c r="X59" s="1"/>
    </row>
    <row r="60" spans="1:24" s="20" customFormat="1" x14ac:dyDescent="0.3">
      <c r="A60" s="1"/>
      <c r="B60" s="1"/>
      <c r="C60" s="1"/>
      <c r="D60" s="1"/>
      <c r="E60" s="1"/>
      <c r="F60" s="1"/>
      <c r="G60" s="1"/>
      <c r="H60" s="1"/>
      <c r="I60" s="47"/>
      <c r="J60" s="1"/>
      <c r="K60" s="36"/>
      <c r="L60" s="36"/>
      <c r="M60" s="36"/>
      <c r="N60" s="36"/>
      <c r="O60" s="36"/>
      <c r="Q60" s="1"/>
      <c r="R60" s="5"/>
      <c r="S60" s="1"/>
      <c r="T60" s="1"/>
      <c r="U60" s="1"/>
      <c r="V60" s="1"/>
      <c r="W60" s="1"/>
      <c r="X60" s="1"/>
    </row>
    <row r="61" spans="1:24" s="20" customFormat="1" x14ac:dyDescent="0.3">
      <c r="A61" s="1"/>
      <c r="B61" s="1"/>
      <c r="C61" s="1"/>
      <c r="D61" s="1"/>
      <c r="E61" s="1"/>
      <c r="F61" s="1"/>
      <c r="G61" s="1"/>
      <c r="H61" s="1"/>
      <c r="I61" s="30"/>
      <c r="J61" s="1"/>
      <c r="K61" s="36"/>
      <c r="L61" s="36"/>
      <c r="M61" s="36"/>
      <c r="N61" s="36"/>
      <c r="O61" s="36"/>
      <c r="Q61" s="1"/>
      <c r="R61" s="5"/>
      <c r="S61" s="1"/>
      <c r="T61" s="1"/>
      <c r="U61" s="1"/>
      <c r="V61" s="1"/>
      <c r="W61" s="1"/>
      <c r="X61" s="1"/>
    </row>
    <row r="62" spans="1:24" s="20" customFormat="1" x14ac:dyDescent="0.3">
      <c r="A62" s="1"/>
      <c r="B62" s="1"/>
      <c r="C62" s="1"/>
      <c r="D62" s="1"/>
      <c r="E62" s="1"/>
      <c r="F62" s="1"/>
      <c r="G62" s="1"/>
      <c r="H62" s="1"/>
      <c r="I62" s="30"/>
      <c r="J62" s="1"/>
      <c r="K62" s="36"/>
      <c r="L62" s="36"/>
      <c r="M62" s="36"/>
      <c r="N62" s="36"/>
      <c r="O62" s="36"/>
      <c r="Q62" s="1"/>
      <c r="R62" s="5"/>
      <c r="S62" s="1"/>
      <c r="T62" s="1"/>
      <c r="U62" s="1"/>
      <c r="V62" s="1"/>
      <c r="W62" s="1"/>
      <c r="X62" s="1"/>
    </row>
    <row r="63" spans="1:24" s="20" customFormat="1" x14ac:dyDescent="0.3">
      <c r="A63" s="1"/>
      <c r="B63" s="1"/>
      <c r="C63" s="1"/>
      <c r="D63" s="1"/>
      <c r="E63" s="1"/>
      <c r="F63" s="1"/>
      <c r="G63" s="1"/>
      <c r="H63" s="1"/>
      <c r="I63" s="30"/>
      <c r="J63" s="1"/>
      <c r="K63" s="36"/>
      <c r="L63" s="36"/>
      <c r="M63" s="36"/>
      <c r="N63" s="36"/>
      <c r="O63" s="36"/>
      <c r="Q63" s="1"/>
      <c r="R63" s="5"/>
      <c r="S63" s="1"/>
      <c r="T63" s="1"/>
      <c r="U63" s="1"/>
      <c r="V63" s="1"/>
      <c r="W63" s="1"/>
      <c r="X63" s="1"/>
    </row>
    <row r="64" spans="1:24" s="20" customFormat="1" x14ac:dyDescent="0.3">
      <c r="A64" s="1"/>
      <c r="B64" s="1"/>
      <c r="C64" s="1"/>
      <c r="D64" s="1"/>
      <c r="E64" s="1"/>
      <c r="F64" s="1"/>
      <c r="G64" s="1"/>
      <c r="H64" s="1"/>
      <c r="I64" s="30"/>
      <c r="J64" s="1"/>
      <c r="K64" s="36"/>
      <c r="L64" s="36"/>
      <c r="M64" s="36"/>
      <c r="N64" s="36"/>
      <c r="O64" s="36"/>
      <c r="Q64" s="1"/>
      <c r="R64" s="5"/>
      <c r="S64" s="1"/>
      <c r="T64" s="1"/>
      <c r="U64" s="1"/>
      <c r="V64" s="1"/>
      <c r="W64" s="1"/>
      <c r="X64" s="1"/>
    </row>
    <row r="65" spans="1:24" s="20" customFormat="1" x14ac:dyDescent="0.3">
      <c r="A65" s="1"/>
      <c r="B65" s="1"/>
      <c r="C65" s="1"/>
      <c r="D65" s="1"/>
      <c r="E65" s="1"/>
      <c r="F65" s="1"/>
      <c r="G65" s="1"/>
      <c r="H65" s="1"/>
      <c r="I65" s="30"/>
      <c r="J65" s="1"/>
      <c r="K65" s="36"/>
      <c r="L65" s="36"/>
      <c r="M65" s="36"/>
      <c r="N65" s="36"/>
      <c r="O65" s="36"/>
      <c r="Q65" s="1"/>
      <c r="R65" s="5"/>
      <c r="S65" s="1"/>
      <c r="T65" s="1"/>
      <c r="U65" s="1"/>
      <c r="V65" s="1"/>
      <c r="W65" s="1"/>
      <c r="X65" s="1"/>
    </row>
    <row r="66" spans="1:24" s="20" customFormat="1" x14ac:dyDescent="0.3">
      <c r="A66" s="1"/>
      <c r="B66" s="1"/>
      <c r="C66" s="1"/>
      <c r="D66" s="1"/>
      <c r="E66" s="1"/>
      <c r="F66" s="1"/>
      <c r="G66" s="1"/>
      <c r="H66" s="1"/>
      <c r="I66" s="30"/>
      <c r="J66" s="1"/>
      <c r="K66" s="36"/>
      <c r="L66" s="36"/>
      <c r="M66" s="36"/>
      <c r="N66" s="32"/>
      <c r="O66" s="29"/>
      <c r="Q66" s="1"/>
      <c r="R66" s="5"/>
      <c r="S66" s="1"/>
      <c r="T66" s="1"/>
      <c r="U66" s="1"/>
      <c r="V66" s="1"/>
      <c r="W66" s="1"/>
      <c r="X66" s="1"/>
    </row>
  </sheetData>
  <autoFilter ref="A4:AI4" xr:uid="{F63A2DA5-AF24-4F93-B8D1-DE0BF7395E63}"/>
  <mergeCells count="10">
    <mergeCell ref="H41:I41"/>
    <mergeCell ref="H42:I42"/>
    <mergeCell ref="H43:I43"/>
    <mergeCell ref="H44:I44"/>
    <mergeCell ref="Q19:R19"/>
    <mergeCell ref="C3:N3"/>
    <mergeCell ref="I31:N31"/>
    <mergeCell ref="H38:N38"/>
    <mergeCell ref="H39:I39"/>
    <mergeCell ref="H40:I40"/>
  </mergeCells>
  <conditionalFormatting sqref="N5:N7">
    <cfRule type="cellIs" dxfId="5" priority="4" operator="equal">
      <formula>0</formula>
    </cfRule>
  </conditionalFormatting>
  <conditionalFormatting sqref="O5:O30">
    <cfRule type="containsText" dxfId="4" priority="5" operator="containsText" text="x">
      <formula>NOT(ISERROR(SEARCH("x",O5)))</formula>
    </cfRule>
    <cfRule type="containsText" dxfId="3" priority="6" operator="containsText" text="ü">
      <formula>NOT(ISERROR(SEARCH("ü",O5)))</formula>
    </cfRule>
  </conditionalFormatting>
  <conditionalFormatting sqref="N8:N15 N20:N30">
    <cfRule type="cellIs" dxfId="2" priority="3" operator="equal">
      <formula>0</formula>
    </cfRule>
  </conditionalFormatting>
  <conditionalFormatting sqref="N16 N18:N19">
    <cfRule type="cellIs" dxfId="1" priority="2" operator="equal">
      <formula>0</formula>
    </cfRule>
  </conditionalFormatting>
  <conditionalFormatting sqref="N17">
    <cfRule type="cellIs" dxfId="0" priority="1" operator="equal">
      <formula>0</formula>
    </cfRule>
  </conditionalFormatting>
  <dataValidations count="1">
    <dataValidation type="list" allowBlank="1" showInputMessage="1" showErrorMessage="1" sqref="I25 I18 I21 I27:I30 I5:I16" xr:uid="{617D8889-85BA-4E77-B4D2-6BB59C2BBD65}">
      <formula1>"TL,USD,EUR,STG"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8" scale="2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OCAK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AS-Nitro10</dc:creator>
  <cp:lastModifiedBy>AS-Nitro10</cp:lastModifiedBy>
  <dcterms:created xsi:type="dcterms:W3CDTF">2026-01-17T14:53:32Z</dcterms:created>
  <dcterms:modified xsi:type="dcterms:W3CDTF">2026-01-17T15:08:37Z</dcterms:modified>
</cp:coreProperties>
</file>